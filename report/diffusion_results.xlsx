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s-my.sharepoint.com/personal/16578_ds_units_it/Documents/PNRR_Lavazza/diffusion/"/>
    </mc:Choice>
  </mc:AlternateContent>
  <xr:revisionPtr revIDLastSave="490" documentId="8_{825B6AD8-A201-0148-BDAB-4B0031DCAA2A}" xr6:coauthVersionLast="47" xr6:coauthVersionMax="47" xr10:uidLastSave="{6D409831-9E97-2B47-A770-1069CA978060}"/>
  <bookViews>
    <workbookView xWindow="0" yWindow="660" windowWidth="34560" windowHeight="20740" activeTab="4" xr2:uid="{25C05D13-B4D0-DB41-8FCC-9C6950A30367}"/>
  </bookViews>
  <sheets>
    <sheet name="pooled" sheetId="2" r:id="rId1"/>
    <sheet name="run_avg" sheetId="1" r:id="rId2"/>
    <sheet name="run_0" sheetId="3" r:id="rId3"/>
    <sheet name="run_1" sheetId="4" r:id="rId4"/>
    <sheet name="run_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5" l="1"/>
  <c r="E21" i="5"/>
  <c r="E20" i="5"/>
  <c r="E19" i="5"/>
  <c r="E16" i="5"/>
  <c r="E15" i="5"/>
  <c r="E14" i="5"/>
  <c r="E13" i="5"/>
  <c r="E22" i="4"/>
  <c r="E21" i="4"/>
  <c r="E20" i="4"/>
  <c r="E19" i="4"/>
  <c r="E16" i="4"/>
  <c r="E15" i="4"/>
  <c r="E14" i="4"/>
  <c r="E13" i="4"/>
  <c r="E22" i="3"/>
  <c r="E21" i="3"/>
  <c r="E20" i="3"/>
  <c r="E19" i="3"/>
  <c r="E16" i="3"/>
  <c r="E15" i="3"/>
  <c r="E14" i="3"/>
  <c r="E13" i="3"/>
  <c r="E22" i="1"/>
  <c r="E21" i="1"/>
  <c r="E20" i="1"/>
  <c r="E19" i="1"/>
  <c r="E16" i="1"/>
  <c r="E15" i="1"/>
  <c r="E14" i="1"/>
  <c r="E13" i="1"/>
  <c r="E19" i="2"/>
  <c r="E20" i="2"/>
  <c r="E21" i="2"/>
  <c r="E22" i="2"/>
  <c r="E15" i="2"/>
  <c r="E16" i="2"/>
  <c r="E14" i="2"/>
  <c r="E13" i="2"/>
  <c r="F5" i="1"/>
  <c r="F6" i="1"/>
  <c r="F7" i="1"/>
  <c r="F8" i="1"/>
  <c r="F9" i="1"/>
  <c r="F3" i="1"/>
  <c r="F4" i="1"/>
  <c r="F2" i="1"/>
  <c r="E9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<sst xmlns="http://schemas.openxmlformats.org/spreadsheetml/2006/main" count="246" uniqueCount="17">
  <si>
    <t>FF</t>
  </si>
  <si>
    <t>POLYMER</t>
  </si>
  <si>
    <t>LIG</t>
  </si>
  <si>
    <t>OPLSAA</t>
  </si>
  <si>
    <t>PEF</t>
  </si>
  <si>
    <t>OXM</t>
  </si>
  <si>
    <t>D</t>
  </si>
  <si>
    <t>emp sem</t>
  </si>
  <si>
    <t>WAT</t>
  </si>
  <si>
    <t>REPLICA</t>
  </si>
  <si>
    <t>QMFF</t>
  </si>
  <si>
    <t>PET</t>
  </si>
  <si>
    <t>avg</t>
  </si>
  <si>
    <t>m</t>
  </si>
  <si>
    <t>std</t>
  </si>
  <si>
    <t>WAT/OXM ratio</t>
  </si>
  <si>
    <t>PET/PEF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</si>
</sst>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E+00"/>
  </numFmts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4" fontId="1" fillId="0" borderId="0" xfId="0" applyNumberFormat="1" applyFont="1"/>
    <xf numFmtId="164" fontId="2" fillId="0" borderId="0" xfId="0" applyNumberFormat="1" applyFont="1"/>
    <xf numFmtId="11" fontId="0" fillId="0" borderId="0" xfId="0" applyNumberFormat="1"/>
    <xf numFmtId="164" fontId="3" fillId="0" borderId="0" xfId="0" applyNumberFormat="1" applyFont="1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pooled!$F$2:$F$9</c:f>
                <c:numCache>
                  <c:formatCode>General</c:formatCode>
                  <c:ptCount val="8"/>
                  <c:pt idx="0">
                    <c:v>6.7737000000000001E-10</c:v>
                  </c:pt>
                  <c:pt idx="1">
                    <c:v>3.2331999999999998E-10</c:v>
                  </c:pt>
                  <c:pt idx="2">
                    <c:v>5.3236999999999999E-10</c:v>
                  </c:pt>
                  <c:pt idx="3">
                    <c:v>4.1218000000000002E-10</c:v>
                  </c:pt>
                  <c:pt idx="4">
                    <c:v>2.6609999999999999E-10</c:v>
                  </c:pt>
                  <c:pt idx="5">
                    <c:v>8.6322000000000004E-10</c:v>
                  </c:pt>
                  <c:pt idx="6">
                    <c:v>2.7637E-10</c:v>
                  </c:pt>
                  <c:pt idx="7">
                    <c:v>5.1629999999999996E-10</c:v>
                  </c:pt>
                </c:numCache>
              </c:numRef>
            </c:plus>
            <c:minus>
              <c:numRef>
                <c:f>pooled!$F$2:$F$9</c:f>
                <c:numCache>
                  <c:formatCode>General</c:formatCode>
                  <c:ptCount val="8"/>
                  <c:pt idx="0">
                    <c:v>6.7737000000000001E-10</c:v>
                  </c:pt>
                  <c:pt idx="1">
                    <c:v>3.2331999999999998E-10</c:v>
                  </c:pt>
                  <c:pt idx="2">
                    <c:v>5.3236999999999999E-10</c:v>
                  </c:pt>
                  <c:pt idx="3">
                    <c:v>4.1218000000000002E-10</c:v>
                  </c:pt>
                  <c:pt idx="4">
                    <c:v>2.6609999999999999E-10</c:v>
                  </c:pt>
                  <c:pt idx="5">
                    <c:v>8.6322000000000004E-10</c:v>
                  </c:pt>
                  <c:pt idx="6">
                    <c:v>2.7637E-10</c:v>
                  </c:pt>
                  <c:pt idx="7">
                    <c:v>5.1629999999999996E-10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pooled!$A$2:$D$9</c:f>
              <c:multiLvlStrCache>
                <c:ptCount val="8"/>
                <c:lvl>
                  <c:pt idx="0">
                    <c:v>m</c:v>
                  </c:pt>
                  <c:pt idx="1">
                    <c:v>m</c:v>
                  </c:pt>
                  <c:pt idx="2">
                    <c:v>m</c:v>
                  </c:pt>
                  <c:pt idx="3">
                    <c:v>m</c:v>
                  </c:pt>
                  <c:pt idx="4">
                    <c:v>m</c:v>
                  </c:pt>
                  <c:pt idx="5">
                    <c:v>m</c:v>
                  </c:pt>
                  <c:pt idx="6">
                    <c:v>m</c:v>
                  </c:pt>
                  <c:pt idx="7">
                    <c:v>m</c:v>
                  </c:pt>
                </c:lvl>
                <c:lvl>
                  <c:pt idx="0">
                    <c:v>WAT</c:v>
                  </c:pt>
                  <c:pt idx="1">
                    <c:v>OXM</c:v>
                  </c:pt>
                  <c:pt idx="2">
                    <c:v>WAT</c:v>
                  </c:pt>
                  <c:pt idx="3">
                    <c:v>OXM</c:v>
                  </c:pt>
                  <c:pt idx="4">
                    <c:v>WAT</c:v>
                  </c:pt>
                  <c:pt idx="5">
                    <c:v>OXM</c:v>
                  </c:pt>
                  <c:pt idx="6">
                    <c:v>WAT</c:v>
                  </c:pt>
                  <c:pt idx="7">
                    <c:v>OXM</c:v>
                  </c:pt>
                </c:lvl>
                <c:lvl>
                  <c:pt idx="0">
                    <c:v>PEF</c:v>
                  </c:pt>
                  <c:pt idx="1">
                    <c:v>PEF</c:v>
                  </c:pt>
                  <c:pt idx="2">
                    <c:v>PET</c:v>
                  </c:pt>
                  <c:pt idx="3">
                    <c:v>PET</c:v>
                  </c:pt>
                  <c:pt idx="4">
                    <c:v>PEF</c:v>
                  </c:pt>
                  <c:pt idx="5">
                    <c:v>PEF</c:v>
                  </c:pt>
                  <c:pt idx="6">
                    <c:v>PET</c:v>
                  </c:pt>
                  <c:pt idx="7">
                    <c:v>PET</c:v>
                  </c:pt>
                </c:lvl>
                <c:lvl>
                  <c:pt idx="0">
                    <c:v>OPLSAA</c:v>
                  </c:pt>
                  <c:pt idx="1">
                    <c:v>OPLSAA</c:v>
                  </c:pt>
                  <c:pt idx="2">
                    <c:v>OPLSAA</c:v>
                  </c:pt>
                  <c:pt idx="3">
                    <c:v>OPLSAA</c:v>
                  </c:pt>
                  <c:pt idx="4">
                    <c:v>QMFF</c:v>
                  </c:pt>
                  <c:pt idx="5">
                    <c:v>QMFF</c:v>
                  </c:pt>
                  <c:pt idx="6">
                    <c:v>QMFF</c:v>
                  </c:pt>
                  <c:pt idx="7">
                    <c:v>QMFF</c:v>
                  </c:pt>
                </c:lvl>
              </c:multiLvlStrCache>
            </c:multiLvlStrRef>
          </c:cat>
          <c:val>
            <c:numRef>
              <c:f>pooled!$E$2:$E$9</c:f>
              <c:numCache>
                <c:formatCode>0.00E+00</c:formatCode>
                <c:ptCount val="8"/>
                <c:pt idx="0">
                  <c:v>6.1101999999999998E-9</c:v>
                </c:pt>
                <c:pt idx="1">
                  <c:v>2.5331999999999999E-9</c:v>
                </c:pt>
                <c:pt idx="2">
                  <c:v>5.5269999999999996E-9</c:v>
                </c:pt>
                <c:pt idx="3">
                  <c:v>3.2229000000000001E-9</c:v>
                </c:pt>
                <c:pt idx="4">
                  <c:v>1.8832999999999999E-9</c:v>
                </c:pt>
                <c:pt idx="5">
                  <c:v>7.9222999999999994E-9</c:v>
                </c:pt>
                <c:pt idx="6">
                  <c:v>1.9771000000000001E-9</c:v>
                </c:pt>
                <c:pt idx="7">
                  <c:v>4.7535000000000002E-9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7-7146-A037-868C419B8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3597888"/>
        <c:axId val="1153599680"/>
      </c:barChart>
      <c:catAx>
        <c:axId val="115359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599680"/>
        <c:crosses val="autoZero"/>
        <c:auto val="1"/>
        <c:lblAlgn val="ctr"/>
        <c:lblOffset val="100"/>
        <c:noMultiLvlLbl val="0"/>
      </c:catAx>
      <c:valAx>
        <c:axId val="1153599680"/>
        <c:scaling>
          <c:orientation val="minMax"/>
          <c:max val="1.2E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597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run_avg!$F$2:$F$9</c:f>
                <c:numCache>
                  <c:formatCode>General</c:formatCode>
                  <c:ptCount val="8"/>
                  <c:pt idx="0">
                    <c:v>2.3475420521615087E-9</c:v>
                  </c:pt>
                  <c:pt idx="1">
                    <c:v>8.6506071591664711E-10</c:v>
                  </c:pt>
                  <c:pt idx="2">
                    <c:v>1.6220293345751245E-9</c:v>
                  </c:pt>
                  <c:pt idx="3">
                    <c:v>6.0840965000747809E-10</c:v>
                  </c:pt>
                  <c:pt idx="4">
                    <c:v>8.9200338569362435E-10</c:v>
                  </c:pt>
                  <c:pt idx="5">
                    <c:v>2.0521490507920394E-9</c:v>
                  </c:pt>
                  <c:pt idx="6">
                    <c:v>2.28094517445924E-10</c:v>
                  </c:pt>
                  <c:pt idx="7">
                    <c:v>5.0504489789412664E-10</c:v>
                  </c:pt>
                </c:numCache>
              </c:numRef>
            </c:plus>
            <c:minus>
              <c:numRef>
                <c:f>run_avg!$F$2:$F$9</c:f>
                <c:numCache>
                  <c:formatCode>General</c:formatCode>
                  <c:ptCount val="8"/>
                  <c:pt idx="0">
                    <c:v>2.3475420521615087E-9</c:v>
                  </c:pt>
                  <c:pt idx="1">
                    <c:v>8.6506071591664711E-10</c:v>
                  </c:pt>
                  <c:pt idx="2">
                    <c:v>1.6220293345751245E-9</c:v>
                  </c:pt>
                  <c:pt idx="3">
                    <c:v>6.0840965000747809E-10</c:v>
                  </c:pt>
                  <c:pt idx="4">
                    <c:v>8.9200338569362435E-10</c:v>
                  </c:pt>
                  <c:pt idx="5">
                    <c:v>2.0521490507920394E-9</c:v>
                  </c:pt>
                  <c:pt idx="6">
                    <c:v>2.28094517445924E-10</c:v>
                  </c:pt>
                  <c:pt idx="7">
                    <c:v>5.0504489789412664E-10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run_avg!$A$2:$D$9</c:f>
              <c:multiLvlStrCache>
                <c:ptCount val="8"/>
                <c:lvl>
                  <c:pt idx="0">
                    <c:v>avg</c:v>
                  </c:pt>
                  <c:pt idx="1">
                    <c:v>avg</c:v>
                  </c:pt>
                  <c:pt idx="2">
                    <c:v>avg</c:v>
                  </c:pt>
                  <c:pt idx="3">
                    <c:v>avg</c:v>
                  </c:pt>
                  <c:pt idx="4">
                    <c:v>avg</c:v>
                  </c:pt>
                  <c:pt idx="5">
                    <c:v>avg</c:v>
                  </c:pt>
                  <c:pt idx="6">
                    <c:v>avg</c:v>
                  </c:pt>
                  <c:pt idx="7">
                    <c:v>avg</c:v>
                  </c:pt>
                </c:lvl>
                <c:lvl>
                  <c:pt idx="0">
                    <c:v>WAT</c:v>
                  </c:pt>
                  <c:pt idx="1">
                    <c:v>OXM</c:v>
                  </c:pt>
                  <c:pt idx="2">
                    <c:v>WAT</c:v>
                  </c:pt>
                  <c:pt idx="3">
                    <c:v>OXM</c:v>
                  </c:pt>
                  <c:pt idx="4">
                    <c:v>WAT</c:v>
                  </c:pt>
                  <c:pt idx="5">
                    <c:v>OXM</c:v>
                  </c:pt>
                  <c:pt idx="6">
                    <c:v>WAT</c:v>
                  </c:pt>
                  <c:pt idx="7">
                    <c:v>OXM</c:v>
                  </c:pt>
                </c:lvl>
                <c:lvl>
                  <c:pt idx="0">
                    <c:v>PEF</c:v>
                  </c:pt>
                  <c:pt idx="1">
                    <c:v>PEF</c:v>
                  </c:pt>
                  <c:pt idx="2">
                    <c:v>PET</c:v>
                  </c:pt>
                  <c:pt idx="3">
                    <c:v>PET</c:v>
                  </c:pt>
                  <c:pt idx="4">
                    <c:v>PEF</c:v>
                  </c:pt>
                  <c:pt idx="5">
                    <c:v>PEF</c:v>
                  </c:pt>
                  <c:pt idx="6">
                    <c:v>PET</c:v>
                  </c:pt>
                  <c:pt idx="7">
                    <c:v>PET</c:v>
                  </c:pt>
                </c:lvl>
                <c:lvl>
                  <c:pt idx="0">
                    <c:v>OPLSAA</c:v>
                  </c:pt>
                  <c:pt idx="1">
                    <c:v>OPLSAA</c:v>
                  </c:pt>
                  <c:pt idx="2">
                    <c:v>OPLSAA</c:v>
                  </c:pt>
                  <c:pt idx="3">
                    <c:v>OPLSAA</c:v>
                  </c:pt>
                  <c:pt idx="4">
                    <c:v>QMFF</c:v>
                  </c:pt>
                  <c:pt idx="5">
                    <c:v>QMFF</c:v>
                  </c:pt>
                  <c:pt idx="6">
                    <c:v>QMFF</c:v>
                  </c:pt>
                  <c:pt idx="7">
                    <c:v>QMFF</c:v>
                  </c:pt>
                </c:lvl>
              </c:multiLvlStrCache>
            </c:multiLvlStrRef>
          </c:cat>
          <c:val>
            <c:numRef>
              <c:f>run_avg!$E$2:$E$9</c:f>
              <c:numCache>
                <c:formatCode>0.0000E+00</c:formatCode>
                <c:ptCount val="8"/>
                <c:pt idx="0">
                  <c:v>5.9756000000000007E-9</c:v>
                </c:pt>
                <c:pt idx="1">
                  <c:v>2.2344666666666663E-9</c:v>
                </c:pt>
                <c:pt idx="2">
                  <c:v>5.0124333333333335E-9</c:v>
                </c:pt>
                <c:pt idx="3">
                  <c:v>3.4202666666666665E-9</c:v>
                </c:pt>
                <c:pt idx="4">
                  <c:v>1.4514066666666666E-9</c:v>
                </c:pt>
                <c:pt idx="5">
                  <c:v>8.2747E-9</c:v>
                </c:pt>
                <c:pt idx="6">
                  <c:v>2.0736666666666666E-9</c:v>
                </c:pt>
                <c:pt idx="7">
                  <c:v>4.3483333333333337E-9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9-3E40-8213-1DCDDBD09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813695"/>
        <c:axId val="2040809663"/>
      </c:barChart>
      <c:catAx>
        <c:axId val="204081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09663"/>
        <c:crosses val="autoZero"/>
        <c:auto val="1"/>
        <c:lblAlgn val="ctr"/>
        <c:lblOffset val="100"/>
        <c:noMultiLvlLbl val="0"/>
      </c:catAx>
      <c:valAx>
        <c:axId val="204080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1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run_0!$F$2:$F$9</c:f>
                <c:numCache>
                  <c:formatCode>General</c:formatCode>
                  <c:ptCount val="8"/>
                  <c:pt idx="0">
                    <c:v>7.5335999999999997E-10</c:v>
                  </c:pt>
                  <c:pt idx="1">
                    <c:v>3.7242999999999997E-10</c:v>
                  </c:pt>
                  <c:pt idx="2">
                    <c:v>5.8003999999999999E-10</c:v>
                  </c:pt>
                  <c:pt idx="3">
                    <c:v>5.9827000000000004E-10</c:v>
                  </c:pt>
                  <c:pt idx="4">
                    <c:v>2.0642E-10</c:v>
                  </c:pt>
                  <c:pt idx="5">
                    <c:v>1.9419000000000001E-9</c:v>
                  </c:pt>
                  <c:pt idx="6">
                    <c:v>4.0579E-10</c:v>
                  </c:pt>
                  <c:pt idx="7">
                    <c:v>8.5483000000000004E-10</c:v>
                  </c:pt>
                </c:numCache>
              </c:numRef>
            </c:plus>
            <c:minus>
              <c:numRef>
                <c:f>run_0!$F$2:$F$9</c:f>
                <c:numCache>
                  <c:formatCode>General</c:formatCode>
                  <c:ptCount val="8"/>
                  <c:pt idx="0">
                    <c:v>7.5335999999999997E-10</c:v>
                  </c:pt>
                  <c:pt idx="1">
                    <c:v>3.7242999999999997E-10</c:v>
                  </c:pt>
                  <c:pt idx="2">
                    <c:v>5.8003999999999999E-10</c:v>
                  </c:pt>
                  <c:pt idx="3">
                    <c:v>5.9827000000000004E-10</c:v>
                  </c:pt>
                  <c:pt idx="4">
                    <c:v>2.0642E-10</c:v>
                  </c:pt>
                  <c:pt idx="5">
                    <c:v>1.9419000000000001E-9</c:v>
                  </c:pt>
                  <c:pt idx="6">
                    <c:v>4.0579E-10</c:v>
                  </c:pt>
                  <c:pt idx="7">
                    <c:v>8.5483000000000004E-10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run_0!$A$2:$D$9</c:f>
              <c:multiLvlStrCache>
                <c:ptCount val="8"/>
                <c:lvl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</c:lvl>
                <c:lvl>
                  <c:pt idx="0">
                    <c:v>WAT</c:v>
                  </c:pt>
                  <c:pt idx="1">
                    <c:v>OXM</c:v>
                  </c:pt>
                  <c:pt idx="2">
                    <c:v>WAT</c:v>
                  </c:pt>
                  <c:pt idx="3">
                    <c:v>OXM</c:v>
                  </c:pt>
                  <c:pt idx="4">
                    <c:v>WAT</c:v>
                  </c:pt>
                  <c:pt idx="5">
                    <c:v>OXM</c:v>
                  </c:pt>
                  <c:pt idx="6">
                    <c:v>WAT</c:v>
                  </c:pt>
                  <c:pt idx="7">
                    <c:v>OXM</c:v>
                  </c:pt>
                </c:lvl>
                <c:lvl>
                  <c:pt idx="0">
                    <c:v>PEF</c:v>
                  </c:pt>
                  <c:pt idx="1">
                    <c:v>PEF</c:v>
                  </c:pt>
                  <c:pt idx="2">
                    <c:v>PET</c:v>
                  </c:pt>
                  <c:pt idx="3">
                    <c:v>PET</c:v>
                  </c:pt>
                  <c:pt idx="4">
                    <c:v>PEF</c:v>
                  </c:pt>
                  <c:pt idx="5">
                    <c:v>PEF</c:v>
                  </c:pt>
                  <c:pt idx="6">
                    <c:v>PET</c:v>
                  </c:pt>
                  <c:pt idx="7">
                    <c:v>PET</c:v>
                  </c:pt>
                </c:lvl>
                <c:lvl>
                  <c:pt idx="0">
                    <c:v>OPLSAA</c:v>
                  </c:pt>
                  <c:pt idx="1">
                    <c:v>OPLSAA</c:v>
                  </c:pt>
                  <c:pt idx="2">
                    <c:v>OPLSAA</c:v>
                  </c:pt>
                  <c:pt idx="3">
                    <c:v>OPLSAA</c:v>
                  </c:pt>
                  <c:pt idx="4">
                    <c:v>QMFF</c:v>
                  </c:pt>
                  <c:pt idx="5">
                    <c:v>QMFF</c:v>
                  </c:pt>
                  <c:pt idx="6">
                    <c:v>QMFF</c:v>
                  </c:pt>
                  <c:pt idx="7">
                    <c:v>QMFF</c:v>
                  </c:pt>
                </c:lvl>
              </c:multiLvlStrCache>
            </c:multiLvlStrRef>
          </c:cat>
          <c:val>
            <c:numRef>
              <c:f>run_0!$E$2:$E$9</c:f>
              <c:numCache>
                <c:formatCode>0.0000E+00</c:formatCode>
                <c:ptCount val="8"/>
                <c:pt idx="0">
                  <c:v>3.6527E-9</c:v>
                </c:pt>
                <c:pt idx="1">
                  <c:v>1.9609000000000001E-9</c:v>
                </c:pt>
                <c:pt idx="2">
                  <c:v>2.7307000000000001E-9</c:v>
                </c:pt>
                <c:pt idx="3">
                  <c:v>2.5664000000000002E-9</c:v>
                </c:pt>
                <c:pt idx="4">
                  <c:v>2.0642E-10</c:v>
                </c:pt>
                <c:pt idx="5">
                  <c:v>1.102E-8</c:v>
                </c:pt>
                <c:pt idx="6">
                  <c:v>2.0861000000000001E-9</c:v>
                </c:pt>
                <c:pt idx="7">
                  <c:v>3.6755E-9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7-2740-8C20-90C6E4E9C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813695"/>
        <c:axId val="2040809663"/>
      </c:barChart>
      <c:catAx>
        <c:axId val="204081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09663"/>
        <c:crosses val="autoZero"/>
        <c:auto val="1"/>
        <c:lblAlgn val="ctr"/>
        <c:lblOffset val="100"/>
        <c:noMultiLvlLbl val="0"/>
      </c:catAx>
      <c:valAx>
        <c:axId val="204080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1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run_1!$F$2:$F$9</c:f>
                <c:numCache>
                  <c:formatCode>General</c:formatCode>
                  <c:ptCount val="8"/>
                  <c:pt idx="0">
                    <c:v>1.3166E-9</c:v>
                  </c:pt>
                  <c:pt idx="1">
                    <c:v>5.3923000000000001E-10</c:v>
                  </c:pt>
                  <c:pt idx="2">
                    <c:v>1.239E-9</c:v>
                  </c:pt>
                  <c:pt idx="3">
                    <c:v>6.8449999999999996E-10</c:v>
                  </c:pt>
                  <c:pt idx="4">
                    <c:v>4.0018999999999999E-10</c:v>
                  </c:pt>
                  <c:pt idx="5">
                    <c:v>1.1274000000000001E-9</c:v>
                  </c:pt>
                  <c:pt idx="6">
                    <c:v>4.4171000000000002E-10</c:v>
                  </c:pt>
                  <c:pt idx="7">
                    <c:v>7.9356999999999998E-10</c:v>
                  </c:pt>
                </c:numCache>
              </c:numRef>
            </c:plus>
            <c:minus>
              <c:numRef>
                <c:f>run_1!$F$2:$F$9</c:f>
                <c:numCache>
                  <c:formatCode>General</c:formatCode>
                  <c:ptCount val="8"/>
                  <c:pt idx="0">
                    <c:v>1.3166E-9</c:v>
                  </c:pt>
                  <c:pt idx="1">
                    <c:v>5.3923000000000001E-10</c:v>
                  </c:pt>
                  <c:pt idx="2">
                    <c:v>1.239E-9</c:v>
                  </c:pt>
                  <c:pt idx="3">
                    <c:v>6.8449999999999996E-10</c:v>
                  </c:pt>
                  <c:pt idx="4">
                    <c:v>4.0018999999999999E-10</c:v>
                  </c:pt>
                  <c:pt idx="5">
                    <c:v>1.1274000000000001E-9</c:v>
                  </c:pt>
                  <c:pt idx="6">
                    <c:v>4.4171000000000002E-10</c:v>
                  </c:pt>
                  <c:pt idx="7">
                    <c:v>7.9356999999999998E-10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run_1!$A$2:$D$9</c:f>
              <c:multiLvlStrCache>
                <c:ptCount val="8"/>
                <c:lvl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lvl>
                <c:lvl>
                  <c:pt idx="0">
                    <c:v>WAT</c:v>
                  </c:pt>
                  <c:pt idx="1">
                    <c:v>OXM</c:v>
                  </c:pt>
                  <c:pt idx="2">
                    <c:v>WAT</c:v>
                  </c:pt>
                  <c:pt idx="3">
                    <c:v>OXM</c:v>
                  </c:pt>
                  <c:pt idx="4">
                    <c:v>WAT</c:v>
                  </c:pt>
                  <c:pt idx="5">
                    <c:v>OXM</c:v>
                  </c:pt>
                  <c:pt idx="6">
                    <c:v>WAT</c:v>
                  </c:pt>
                  <c:pt idx="7">
                    <c:v>OXM</c:v>
                  </c:pt>
                </c:lvl>
                <c:lvl>
                  <c:pt idx="0">
                    <c:v>PEF</c:v>
                  </c:pt>
                  <c:pt idx="1">
                    <c:v>PEF</c:v>
                  </c:pt>
                  <c:pt idx="2">
                    <c:v>PET</c:v>
                  </c:pt>
                  <c:pt idx="3">
                    <c:v>PET</c:v>
                  </c:pt>
                  <c:pt idx="4">
                    <c:v>PEF</c:v>
                  </c:pt>
                  <c:pt idx="5">
                    <c:v>PEF</c:v>
                  </c:pt>
                  <c:pt idx="6">
                    <c:v>PET</c:v>
                  </c:pt>
                  <c:pt idx="7">
                    <c:v>PET</c:v>
                  </c:pt>
                </c:lvl>
                <c:lvl>
                  <c:pt idx="0">
                    <c:v>OPLSAA</c:v>
                  </c:pt>
                  <c:pt idx="1">
                    <c:v>OPLSAA</c:v>
                  </c:pt>
                  <c:pt idx="2">
                    <c:v>OPLSAA</c:v>
                  </c:pt>
                  <c:pt idx="3">
                    <c:v>OPLSAA</c:v>
                  </c:pt>
                  <c:pt idx="4">
                    <c:v>QMFF</c:v>
                  </c:pt>
                  <c:pt idx="5">
                    <c:v>QMFF</c:v>
                  </c:pt>
                  <c:pt idx="6">
                    <c:v>QMFF</c:v>
                  </c:pt>
                  <c:pt idx="7">
                    <c:v>QMFF</c:v>
                  </c:pt>
                </c:lvl>
              </c:multiLvlStrCache>
            </c:multiLvlStrRef>
          </c:cat>
          <c:val>
            <c:numRef>
              <c:f>run_1!$E$2:$E$9</c:f>
              <c:numCache>
                <c:formatCode>0.0000E+00</c:formatCode>
                <c:ptCount val="8"/>
                <c:pt idx="0">
                  <c:v>9.1912000000000003E-9</c:v>
                </c:pt>
                <c:pt idx="1">
                  <c:v>3.4038999999999998E-9</c:v>
                </c:pt>
                <c:pt idx="2">
                  <c:v>5.949E-9</c:v>
                </c:pt>
                <c:pt idx="3">
                  <c:v>3.7553999999999997E-9</c:v>
                </c:pt>
                <c:pt idx="4">
                  <c:v>1.8977999999999998E-9</c:v>
                </c:pt>
                <c:pt idx="5">
                  <c:v>6.0868999999999997E-9</c:v>
                </c:pt>
                <c:pt idx="6">
                  <c:v>2.3466000000000001E-9</c:v>
                </c:pt>
                <c:pt idx="7">
                  <c:v>4.8922999999999997E-9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3F-CF4E-A383-8F3253396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813695"/>
        <c:axId val="2040809663"/>
      </c:barChart>
      <c:catAx>
        <c:axId val="204081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09663"/>
        <c:crosses val="autoZero"/>
        <c:auto val="1"/>
        <c:lblAlgn val="ctr"/>
        <c:lblOffset val="100"/>
        <c:noMultiLvlLbl val="0"/>
      </c:catAx>
      <c:valAx>
        <c:axId val="204080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1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run_2!$F$2:$F$9</c:f>
                <c:numCache>
                  <c:formatCode>General</c:formatCode>
                  <c:ptCount val="8"/>
                  <c:pt idx="0">
                    <c:v>8.1799999999999997E-10</c:v>
                  </c:pt>
                  <c:pt idx="1">
                    <c:v>7.0284000000000003E-10</c:v>
                  </c:pt>
                  <c:pt idx="2">
                    <c:v>9.0471999999999995E-10</c:v>
                  </c:pt>
                  <c:pt idx="3">
                    <c:v>8.0243999999999997E-10</c:v>
                  </c:pt>
                  <c:pt idx="4">
                    <c:v>5.2835000000000004E-10</c:v>
                  </c:pt>
                  <c:pt idx="5">
                    <c:v>1.6162000000000001E-9</c:v>
                  </c:pt>
                  <c:pt idx="6">
                    <c:v>4.7046000000000005E-10</c:v>
                  </c:pt>
                  <c:pt idx="7">
                    <c:v>7.6380999999999997E-10</c:v>
                  </c:pt>
                </c:numCache>
              </c:numRef>
            </c:plus>
            <c:minus>
              <c:numRef>
                <c:f>run_2!$F$2:$F$9</c:f>
                <c:numCache>
                  <c:formatCode>General</c:formatCode>
                  <c:ptCount val="8"/>
                  <c:pt idx="0">
                    <c:v>8.1799999999999997E-10</c:v>
                  </c:pt>
                  <c:pt idx="1">
                    <c:v>7.0284000000000003E-10</c:v>
                  </c:pt>
                  <c:pt idx="2">
                    <c:v>9.0471999999999995E-10</c:v>
                  </c:pt>
                  <c:pt idx="3">
                    <c:v>8.0243999999999997E-10</c:v>
                  </c:pt>
                  <c:pt idx="4">
                    <c:v>5.2835000000000004E-10</c:v>
                  </c:pt>
                  <c:pt idx="5">
                    <c:v>1.6162000000000001E-9</c:v>
                  </c:pt>
                  <c:pt idx="6">
                    <c:v>4.7046000000000005E-10</c:v>
                  </c:pt>
                  <c:pt idx="7">
                    <c:v>7.6380999999999997E-10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multiLvlStrRef>
              <c:f>run_2!$A$2:$D$9</c:f>
              <c:multiLvlStrCache>
                <c:ptCount val="8"/>
                <c:lvl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2</c:v>
                  </c:pt>
                  <c:pt idx="4">
                    <c:v>2</c:v>
                  </c:pt>
                  <c:pt idx="5">
                    <c:v>2</c:v>
                  </c:pt>
                  <c:pt idx="6">
                    <c:v>2</c:v>
                  </c:pt>
                  <c:pt idx="7">
                    <c:v>2</c:v>
                  </c:pt>
                </c:lvl>
                <c:lvl>
                  <c:pt idx="0">
                    <c:v>WAT</c:v>
                  </c:pt>
                  <c:pt idx="1">
                    <c:v>OXM</c:v>
                  </c:pt>
                  <c:pt idx="2">
                    <c:v>WAT</c:v>
                  </c:pt>
                  <c:pt idx="3">
                    <c:v>OXM</c:v>
                  </c:pt>
                  <c:pt idx="4">
                    <c:v>WAT</c:v>
                  </c:pt>
                  <c:pt idx="5">
                    <c:v>OXM</c:v>
                  </c:pt>
                  <c:pt idx="6">
                    <c:v>WAT</c:v>
                  </c:pt>
                  <c:pt idx="7">
                    <c:v>OXM</c:v>
                  </c:pt>
                </c:lvl>
                <c:lvl>
                  <c:pt idx="0">
                    <c:v>PEF</c:v>
                  </c:pt>
                  <c:pt idx="1">
                    <c:v>PEF</c:v>
                  </c:pt>
                  <c:pt idx="2">
                    <c:v>PET</c:v>
                  </c:pt>
                  <c:pt idx="3">
                    <c:v>PET</c:v>
                  </c:pt>
                  <c:pt idx="4">
                    <c:v>PEF</c:v>
                  </c:pt>
                  <c:pt idx="5">
                    <c:v>PEF</c:v>
                  </c:pt>
                  <c:pt idx="6">
                    <c:v>PET</c:v>
                  </c:pt>
                  <c:pt idx="7">
                    <c:v>PET</c:v>
                  </c:pt>
                </c:lvl>
                <c:lvl>
                  <c:pt idx="0">
                    <c:v>OPLSAA</c:v>
                  </c:pt>
                  <c:pt idx="1">
                    <c:v>OPLSAA</c:v>
                  </c:pt>
                  <c:pt idx="2">
                    <c:v>OPLSAA</c:v>
                  </c:pt>
                  <c:pt idx="3">
                    <c:v>OPLSAA</c:v>
                  </c:pt>
                  <c:pt idx="4">
                    <c:v>QMFF</c:v>
                  </c:pt>
                  <c:pt idx="5">
                    <c:v>QMFF</c:v>
                  </c:pt>
                  <c:pt idx="6">
                    <c:v>QMFF</c:v>
                  </c:pt>
                  <c:pt idx="7">
                    <c:v>QMFF</c:v>
                  </c:pt>
                </c:lvl>
              </c:multiLvlStrCache>
            </c:multiLvlStrRef>
          </c:cat>
          <c:val>
            <c:numRef>
              <c:f>run_2!$E$2:$E$9</c:f>
              <c:numCache>
                <c:formatCode>0.0000E+00</c:formatCode>
                <c:ptCount val="8"/>
                <c:pt idx="0">
                  <c:v>5.0829000000000003E-9</c:v>
                </c:pt>
                <c:pt idx="1">
                  <c:v>1.3385999999999999E-9</c:v>
                </c:pt>
                <c:pt idx="2">
                  <c:v>6.3575999999999996E-9</c:v>
                </c:pt>
                <c:pt idx="3">
                  <c:v>3.9389999999999997E-9</c:v>
                </c:pt>
                <c:pt idx="4">
                  <c:v>2.2499999999999999E-9</c:v>
                </c:pt>
                <c:pt idx="5">
                  <c:v>7.7171999999999998E-9</c:v>
                </c:pt>
                <c:pt idx="6">
                  <c:v>1.7882999999999999E-9</c:v>
                </c:pt>
                <c:pt idx="7">
                  <c:v>4.4772000000000002E-9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2-D54D-8DD6-1A175761D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0813695"/>
        <c:axId val="2040809663"/>
      </c:barChart>
      <c:catAx>
        <c:axId val="204081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09663"/>
        <c:crosses val="autoZero"/>
        <c:auto val="1"/>
        <c:lblAlgn val="ctr"/>
        <c:lblOffset val="100"/>
        <c:noMultiLvlLbl val="0"/>
      </c:catAx>
      <c:valAx>
        <c:axId val="204080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81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0</xdr:row>
      <xdr:rowOff>31750</xdr:rowOff>
    </xdr:from>
    <xdr:to>
      <xdr:col>14</xdr:col>
      <xdr:colOff>787400</xdr:colOff>
      <xdr:row>21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FA7B7D-BED4-0D17-547F-83F036ABD2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0</xdr:row>
      <xdr:rowOff>19050</xdr:rowOff>
    </xdr:from>
    <xdr:to>
      <xdr:col>14</xdr:col>
      <xdr:colOff>812800</xdr:colOff>
      <xdr:row>22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DA01DF-4AD1-8B1E-6868-FA54A0B56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25400</xdr:colOff>
      <xdr:row>0</xdr:row>
      <xdr:rowOff>25400</xdr:rowOff>
    </xdr:from>
    <xdr:to>
      <xdr:col>14</xdr:col>
      <xdr:colOff>812800</xdr:colOff>
      <xdr:row>21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8908B6-C289-854F-AC60-AC2CA63D5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0</xdr:row>
      <xdr:rowOff>0</xdr:rowOff>
    </xdr:from>
    <xdr:to>
      <xdr:col>14</xdr:col>
      <xdr:colOff>800100</xdr:colOff>
      <xdr:row>21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C112CE-035E-7D40-8150-A13E40FFCE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25400</xdr:rowOff>
    </xdr:from>
    <xdr:to>
      <xdr:col>14</xdr:col>
      <xdr:colOff>800100</xdr:colOff>
      <xdr:row>21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B3F36E-FD8E-5942-8432-2BDD75553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0C7B-A328-2942-8C88-D6628AA42CD8}">
  <dimension ref="A1:F22"/>
  <sheetViews>
    <sheetView workbookViewId="0">
      <selection activeCell="E20" sqref="E20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9</v>
      </c>
      <c r="E1" s="1" t="s">
        <v>6</v>
      </c>
      <c r="F1" s="2" t="s">
        <v>7</v>
      </c>
    </row>
    <row r="2" spans="1:6" x14ac:dyDescent="0.2">
      <c r="A2" t="s">
        <v>3</v>
      </c>
      <c r="B2" t="s">
        <v>4</v>
      </c>
      <c r="C2" t="s">
        <v>8</v>
      </c>
      <c r="D2" t="s">
        <v>13</v>
      </c>
      <c r="E2" s="4">
        <v>6.1101999999999998E-9</v>
      </c>
      <c r="F2" s="4">
        <v>6.7737000000000001E-10</v>
      </c>
    </row>
    <row r="3" spans="1:6" x14ac:dyDescent="0.2">
      <c r="A3" t="s">
        <v>3</v>
      </c>
      <c r="B3" t="s">
        <v>4</v>
      </c>
      <c r="C3" t="s">
        <v>5</v>
      </c>
      <c r="D3" t="s">
        <v>13</v>
      </c>
      <c r="E3" s="4">
        <v>2.5331999999999999E-9</v>
      </c>
      <c r="F3" s="4">
        <v>3.2331999999999998E-10</v>
      </c>
    </row>
    <row r="4" spans="1:6" x14ac:dyDescent="0.2">
      <c r="A4" t="s">
        <v>3</v>
      </c>
      <c r="B4" t="s">
        <v>11</v>
      </c>
      <c r="C4" t="s">
        <v>8</v>
      </c>
      <c r="D4" t="s">
        <v>13</v>
      </c>
      <c r="E4" s="4">
        <v>5.5269999999999996E-9</v>
      </c>
      <c r="F4" s="4">
        <v>5.3236999999999999E-10</v>
      </c>
    </row>
    <row r="5" spans="1:6" x14ac:dyDescent="0.2">
      <c r="A5" t="s">
        <v>3</v>
      </c>
      <c r="B5" t="s">
        <v>11</v>
      </c>
      <c r="C5" t="s">
        <v>5</v>
      </c>
      <c r="D5" t="s">
        <v>13</v>
      </c>
      <c r="E5" s="4">
        <v>3.2229000000000001E-9</v>
      </c>
      <c r="F5" s="4">
        <v>4.1218000000000002E-10</v>
      </c>
    </row>
    <row r="6" spans="1:6" x14ac:dyDescent="0.2">
      <c r="A6" t="s">
        <v>10</v>
      </c>
      <c r="B6" t="s">
        <v>4</v>
      </c>
      <c r="C6" t="s">
        <v>8</v>
      </c>
      <c r="D6" t="s">
        <v>13</v>
      </c>
      <c r="E6" s="4">
        <v>1.8832999999999999E-9</v>
      </c>
      <c r="F6" s="4">
        <v>2.6609999999999999E-10</v>
      </c>
    </row>
    <row r="7" spans="1:6" x14ac:dyDescent="0.2">
      <c r="A7" t="s">
        <v>10</v>
      </c>
      <c r="B7" t="s">
        <v>4</v>
      </c>
      <c r="C7" t="s">
        <v>5</v>
      </c>
      <c r="D7" t="s">
        <v>13</v>
      </c>
      <c r="E7" s="4">
        <v>7.9222999999999994E-9</v>
      </c>
      <c r="F7" s="4">
        <v>8.6322000000000004E-10</v>
      </c>
    </row>
    <row r="8" spans="1:6" x14ac:dyDescent="0.2">
      <c r="A8" t="s">
        <v>10</v>
      </c>
      <c r="B8" t="s">
        <v>11</v>
      </c>
      <c r="C8" t="s">
        <v>8</v>
      </c>
      <c r="D8" t="s">
        <v>13</v>
      </c>
      <c r="E8" s="4">
        <v>1.9771000000000001E-9</v>
      </c>
      <c r="F8" s="4">
        <v>2.7637E-10</v>
      </c>
    </row>
    <row r="9" spans="1:6" x14ac:dyDescent="0.2">
      <c r="A9" t="s">
        <v>10</v>
      </c>
      <c r="B9" t="s">
        <v>11</v>
      </c>
      <c r="C9" t="s">
        <v>5</v>
      </c>
      <c r="D9" t="s">
        <v>13</v>
      </c>
      <c r="E9" s="4">
        <v>4.7535000000000002E-9</v>
      </c>
      <c r="F9" s="4">
        <v>5.1629999999999996E-10</v>
      </c>
    </row>
    <row r="13" spans="1:6" x14ac:dyDescent="0.2">
      <c r="A13" t="s">
        <v>3</v>
      </c>
      <c r="B13" s="7" t="s">
        <v>15</v>
      </c>
      <c r="C13" s="7"/>
      <c r="D13" t="s">
        <v>4</v>
      </c>
      <c r="E13" s="6">
        <f>E2/E3</f>
        <v>2.4120480025264488</v>
      </c>
    </row>
    <row r="14" spans="1:6" x14ac:dyDescent="0.2">
      <c r="D14" t="s">
        <v>11</v>
      </c>
      <c r="E14" s="6">
        <f>E4/E5</f>
        <v>1.7149151385398242</v>
      </c>
    </row>
    <row r="15" spans="1:6" x14ac:dyDescent="0.2">
      <c r="A15" t="s">
        <v>10</v>
      </c>
      <c r="B15" s="7" t="s">
        <v>15</v>
      </c>
      <c r="C15" s="7"/>
      <c r="D15" t="s">
        <v>4</v>
      </c>
      <c r="E15" s="6">
        <f>E6/E7</f>
        <v>0.23772136879441577</v>
      </c>
      <c r="F15" s="6"/>
    </row>
    <row r="16" spans="1:6" x14ac:dyDescent="0.2">
      <c r="D16" t="s">
        <v>11</v>
      </c>
      <c r="E16" s="6">
        <f>E8/E9</f>
        <v>0.41592510781529402</v>
      </c>
      <c r="F16" s="6"/>
    </row>
    <row r="18" spans="1:5" x14ac:dyDescent="0.2">
      <c r="E18" s="6"/>
    </row>
    <row r="19" spans="1:5" x14ac:dyDescent="0.2">
      <c r="A19" t="s">
        <v>3</v>
      </c>
      <c r="B19" s="7" t="s">
        <v>16</v>
      </c>
      <c r="C19" s="7"/>
      <c r="D19" t="s">
        <v>8</v>
      </c>
      <c r="E19" s="6">
        <f>E4/E2</f>
        <v>0.90455304245360213</v>
      </c>
    </row>
    <row r="20" spans="1:5" x14ac:dyDescent="0.2">
      <c r="D20" t="s">
        <v>5</v>
      </c>
      <c r="E20" s="6">
        <f>E5/E3</f>
        <v>1.2722643297015634</v>
      </c>
    </row>
    <row r="21" spans="1:5" x14ac:dyDescent="0.2">
      <c r="A21" t="s">
        <v>10</v>
      </c>
      <c r="B21" s="7" t="s">
        <v>16</v>
      </c>
      <c r="C21" s="7"/>
      <c r="D21" t="s">
        <v>8</v>
      </c>
      <c r="E21" s="6">
        <f>E8/E6</f>
        <v>1.0498061912600225</v>
      </c>
    </row>
    <row r="22" spans="1:5" x14ac:dyDescent="0.2">
      <c r="D22" t="s">
        <v>5</v>
      </c>
      <c r="E22" s="6">
        <f>E9/E7</f>
        <v>0.60001514711636783</v>
      </c>
    </row>
  </sheetData>
  <mergeCells count="4">
    <mergeCell ref="B13:C13"/>
    <mergeCell ref="B15:C15"/>
    <mergeCell ref="B19:C19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D6CA5-EC32-294E-8E2B-7FE9B00B5369}">
  <dimension ref="A1:U22"/>
  <sheetViews>
    <sheetView workbookViewId="0">
      <selection activeCell="D36" sqref="D36"/>
    </sheetView>
  </sheetViews>
  <sheetFormatPr baseColWidth="10" defaultRowHeight="16" x14ac:dyDescent="0.2"/>
  <cols>
    <col min="5" max="5" width="10.33203125" bestFit="1" customWidth="1"/>
    <col min="6" max="6" width="11.83203125" style="1" customWidth="1"/>
    <col min="7" max="7" width="10.83203125" style="1"/>
  </cols>
  <sheetData>
    <row r="1" spans="1:21" x14ac:dyDescent="0.2">
      <c r="A1" t="s">
        <v>0</v>
      </c>
      <c r="B1" t="s">
        <v>1</v>
      </c>
      <c r="C1" t="s">
        <v>2</v>
      </c>
      <c r="D1" t="s">
        <v>9</v>
      </c>
      <c r="E1" s="1" t="s">
        <v>6</v>
      </c>
      <c r="F1" s="5" t="s">
        <v>14</v>
      </c>
      <c r="M1" s="1"/>
      <c r="N1" s="2"/>
      <c r="T1" s="1"/>
      <c r="U1" s="2"/>
    </row>
    <row r="2" spans="1:21" x14ac:dyDescent="0.2">
      <c r="A2" t="s">
        <v>3</v>
      </c>
      <c r="B2" t="s">
        <v>4</v>
      </c>
      <c r="C2" t="s">
        <v>8</v>
      </c>
      <c r="D2" t="s">
        <v>12</v>
      </c>
      <c r="E2" s="1">
        <f>AVERAGE(run_0!E2,run_1!E2,run_2!E2)</f>
        <v>5.9756000000000007E-9</v>
      </c>
      <c r="F2" s="1">
        <f>_xlfn.STDEV.P(run_0!E2,run_1!E2,run_2!E2)</f>
        <v>2.3475420521615087E-9</v>
      </c>
      <c r="G2" s="3"/>
      <c r="M2" s="1"/>
      <c r="N2" s="3"/>
      <c r="T2" s="1"/>
      <c r="U2" s="1"/>
    </row>
    <row r="3" spans="1:21" x14ac:dyDescent="0.2">
      <c r="A3" t="s">
        <v>3</v>
      </c>
      <c r="B3" t="s">
        <v>4</v>
      </c>
      <c r="C3" t="s">
        <v>5</v>
      </c>
      <c r="D3" t="s">
        <v>12</v>
      </c>
      <c r="E3" s="1">
        <f>AVERAGE(run_0!E3,run_1!E3,run_2!E3)</f>
        <v>2.2344666666666663E-9</v>
      </c>
      <c r="F3" s="1">
        <f>_xlfn.STDEV.P(run_0!E3,run_1!E3,run_2!E3)</f>
        <v>8.6506071591664711E-10</v>
      </c>
      <c r="M3" s="1"/>
      <c r="N3" s="1"/>
      <c r="T3" s="1"/>
      <c r="U3" s="1"/>
    </row>
    <row r="4" spans="1:21" x14ac:dyDescent="0.2">
      <c r="A4" t="s">
        <v>3</v>
      </c>
      <c r="B4" t="s">
        <v>11</v>
      </c>
      <c r="C4" t="s">
        <v>8</v>
      </c>
      <c r="D4" t="s">
        <v>12</v>
      </c>
      <c r="E4" s="1">
        <f>AVERAGE(run_0!E4,run_1!E4,run_2!E4)</f>
        <v>5.0124333333333335E-9</v>
      </c>
      <c r="F4" s="1">
        <f>_xlfn.STDEV.P(run_0!E4,run_1!E4,run_2!E4)</f>
        <v>1.6220293345751245E-9</v>
      </c>
      <c r="M4" s="1"/>
      <c r="N4" s="1"/>
      <c r="T4" s="1"/>
      <c r="U4" s="1"/>
    </row>
    <row r="5" spans="1:21" x14ac:dyDescent="0.2">
      <c r="A5" t="s">
        <v>3</v>
      </c>
      <c r="B5" t="s">
        <v>11</v>
      </c>
      <c r="C5" t="s">
        <v>5</v>
      </c>
      <c r="D5" t="s">
        <v>12</v>
      </c>
      <c r="E5" s="1">
        <f>AVERAGE(run_0!E5,run_1!E5,run_2!E5)</f>
        <v>3.4202666666666665E-9</v>
      </c>
      <c r="F5" s="1">
        <f>_xlfn.STDEV.P(run_0!E5,run_1!E5,run_2!E5)</f>
        <v>6.0840965000747809E-10</v>
      </c>
      <c r="M5" s="1"/>
      <c r="N5" s="1"/>
      <c r="T5" s="1"/>
      <c r="U5" s="1"/>
    </row>
    <row r="6" spans="1:21" x14ac:dyDescent="0.2">
      <c r="A6" t="s">
        <v>10</v>
      </c>
      <c r="B6" t="s">
        <v>4</v>
      </c>
      <c r="C6" t="s">
        <v>8</v>
      </c>
      <c r="D6" t="s">
        <v>12</v>
      </c>
      <c r="E6" s="1">
        <f>AVERAGE(run_0!E6,run_1!E6,run_2!E6)</f>
        <v>1.4514066666666666E-9</v>
      </c>
      <c r="F6" s="1">
        <f>_xlfn.STDEV.P(run_0!E6,run_1!E6,run_2!E6)</f>
        <v>8.9200338569362435E-10</v>
      </c>
      <c r="M6" s="1"/>
      <c r="N6" s="1"/>
      <c r="T6" s="1"/>
      <c r="U6" s="1"/>
    </row>
    <row r="7" spans="1:21" x14ac:dyDescent="0.2">
      <c r="A7" t="s">
        <v>10</v>
      </c>
      <c r="B7" t="s">
        <v>4</v>
      </c>
      <c r="C7" t="s">
        <v>5</v>
      </c>
      <c r="D7" t="s">
        <v>12</v>
      </c>
      <c r="E7" s="1">
        <f>AVERAGE(run_0!E7,run_1!E7,run_2!E7)</f>
        <v>8.2747E-9</v>
      </c>
      <c r="F7" s="1">
        <f>_xlfn.STDEV.P(run_0!E7,run_1!E7,run_2!E7)</f>
        <v>2.0521490507920394E-9</v>
      </c>
      <c r="M7" s="1"/>
      <c r="N7" s="1"/>
      <c r="T7" s="1"/>
      <c r="U7" s="1"/>
    </row>
    <row r="8" spans="1:21" x14ac:dyDescent="0.2">
      <c r="A8" t="s">
        <v>10</v>
      </c>
      <c r="B8" t="s">
        <v>11</v>
      </c>
      <c r="C8" t="s">
        <v>8</v>
      </c>
      <c r="D8" t="s">
        <v>12</v>
      </c>
      <c r="E8" s="1">
        <f>AVERAGE(run_0!E8,run_1!E8,run_2!E8)</f>
        <v>2.0736666666666666E-9</v>
      </c>
      <c r="F8" s="1">
        <f>_xlfn.STDEV.P(run_0!E8,run_1!E8,run_2!E8)</f>
        <v>2.28094517445924E-10</v>
      </c>
      <c r="M8" s="1"/>
      <c r="N8" s="1"/>
      <c r="T8" s="1"/>
      <c r="U8" s="1"/>
    </row>
    <row r="9" spans="1:21" x14ac:dyDescent="0.2">
      <c r="A9" t="s">
        <v>10</v>
      </c>
      <c r="B9" t="s">
        <v>11</v>
      </c>
      <c r="C9" t="s">
        <v>5</v>
      </c>
      <c r="D9" t="s">
        <v>12</v>
      </c>
      <c r="E9" s="1">
        <f>AVERAGE(run_0!E9,run_1!E9,run_2!E9)</f>
        <v>4.3483333333333337E-9</v>
      </c>
      <c r="F9" s="1">
        <f>_xlfn.STDEV.P(run_0!E9,run_1!E9,run_2!E9)</f>
        <v>5.0504489789412664E-10</v>
      </c>
      <c r="M9" s="1"/>
      <c r="N9" s="1"/>
      <c r="T9" s="1"/>
      <c r="U9" s="1"/>
    </row>
    <row r="13" spans="1:21" x14ac:dyDescent="0.2">
      <c r="A13" t="s">
        <v>3</v>
      </c>
      <c r="B13" s="7" t="s">
        <v>15</v>
      </c>
      <c r="C13" s="7"/>
      <c r="D13" t="s">
        <v>4</v>
      </c>
      <c r="E13" s="6">
        <f>E2/E3</f>
        <v>2.6742846913506586</v>
      </c>
    </row>
    <row r="14" spans="1:21" x14ac:dyDescent="0.2">
      <c r="D14" t="s">
        <v>11</v>
      </c>
      <c r="E14" s="6">
        <f>E4/E5</f>
        <v>1.4655095119288946</v>
      </c>
    </row>
    <row r="15" spans="1:21" x14ac:dyDescent="0.2">
      <c r="A15" t="s">
        <v>10</v>
      </c>
      <c r="B15" s="7" t="s">
        <v>15</v>
      </c>
      <c r="C15" s="7"/>
      <c r="D15" t="s">
        <v>4</v>
      </c>
      <c r="E15" s="6">
        <f>E6/E7</f>
        <v>0.17540293505101895</v>
      </c>
    </row>
    <row r="16" spans="1:21" x14ac:dyDescent="0.2">
      <c r="D16" t="s">
        <v>11</v>
      </c>
      <c r="E16" s="6">
        <f>E8/E9</f>
        <v>0.47688769643541584</v>
      </c>
    </row>
    <row r="18" spans="1:5" x14ac:dyDescent="0.2">
      <c r="E18" s="6"/>
    </row>
    <row r="19" spans="1:5" x14ac:dyDescent="0.2">
      <c r="A19" t="s">
        <v>3</v>
      </c>
      <c r="B19" s="7" t="s">
        <v>16</v>
      </c>
      <c r="C19" s="7"/>
      <c r="D19" t="s">
        <v>8</v>
      </c>
      <c r="E19" s="6">
        <f>E4/E2</f>
        <v>0.83881674364638414</v>
      </c>
    </row>
    <row r="20" spans="1:5" x14ac:dyDescent="0.2">
      <c r="D20" t="s">
        <v>5</v>
      </c>
      <c r="E20" s="6">
        <f>E5/E3</f>
        <v>1.5306859205776175</v>
      </c>
    </row>
    <row r="21" spans="1:5" x14ac:dyDescent="0.2">
      <c r="A21" t="s">
        <v>10</v>
      </c>
      <c r="B21" s="7" t="s">
        <v>16</v>
      </c>
      <c r="C21" s="7"/>
      <c r="D21" t="s">
        <v>8</v>
      </c>
      <c r="E21" s="6">
        <f>E8/E6</f>
        <v>1.4287289112630965</v>
      </c>
    </row>
    <row r="22" spans="1:5" x14ac:dyDescent="0.2">
      <c r="D22" t="s">
        <v>5</v>
      </c>
      <c r="E22" s="6">
        <f>E9/E7</f>
        <v>0.52549739970431963</v>
      </c>
    </row>
  </sheetData>
  <mergeCells count="4">
    <mergeCell ref="B13:C13"/>
    <mergeCell ref="B15:C15"/>
    <mergeCell ref="B19:C19"/>
    <mergeCell ref="B21:C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6228-983F-A54B-8A2E-BBE5923AE9A4}">
  <dimension ref="A1:T22"/>
  <sheetViews>
    <sheetView workbookViewId="0">
      <selection activeCell="A13" sqref="A13:E22"/>
    </sheetView>
  </sheetViews>
  <sheetFormatPr baseColWidth="10" defaultRowHeight="16" x14ac:dyDescent="0.2"/>
  <cols>
    <col min="5" max="5" width="10.33203125" bestFit="1" customWidth="1"/>
    <col min="6" max="6" width="11.83203125" style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9</v>
      </c>
      <c r="E1" s="1" t="s">
        <v>6</v>
      </c>
      <c r="F1" s="2" t="s">
        <v>7</v>
      </c>
      <c r="L1" s="1"/>
      <c r="M1" s="2"/>
      <c r="S1" s="1"/>
      <c r="T1" s="2"/>
    </row>
    <row r="2" spans="1:20" x14ac:dyDescent="0.2">
      <c r="A2" t="s">
        <v>3</v>
      </c>
      <c r="B2" t="s">
        <v>4</v>
      </c>
      <c r="C2" t="s">
        <v>8</v>
      </c>
      <c r="D2">
        <v>0</v>
      </c>
      <c r="E2" s="1">
        <v>3.6527E-9</v>
      </c>
      <c r="F2" s="3">
        <v>7.5335999999999997E-10</v>
      </c>
      <c r="L2" s="1"/>
      <c r="M2" s="3"/>
      <c r="S2" s="1"/>
      <c r="T2" s="1"/>
    </row>
    <row r="3" spans="1:20" x14ac:dyDescent="0.2">
      <c r="A3" t="s">
        <v>3</v>
      </c>
      <c r="B3" t="s">
        <v>4</v>
      </c>
      <c r="C3" t="s">
        <v>5</v>
      </c>
      <c r="D3">
        <v>0</v>
      </c>
      <c r="E3" s="1">
        <v>1.9609000000000001E-9</v>
      </c>
      <c r="F3" s="1">
        <v>3.7242999999999997E-10</v>
      </c>
      <c r="L3" s="1"/>
      <c r="M3" s="1"/>
      <c r="S3" s="1"/>
      <c r="T3" s="1"/>
    </row>
    <row r="4" spans="1:20" x14ac:dyDescent="0.2">
      <c r="A4" t="s">
        <v>3</v>
      </c>
      <c r="B4" t="s">
        <v>11</v>
      </c>
      <c r="C4" t="s">
        <v>8</v>
      </c>
      <c r="D4">
        <v>0</v>
      </c>
      <c r="E4" s="1">
        <v>2.7307000000000001E-9</v>
      </c>
      <c r="F4" s="1">
        <v>5.8003999999999999E-10</v>
      </c>
      <c r="L4" s="1"/>
      <c r="M4" s="1"/>
      <c r="S4" s="1"/>
      <c r="T4" s="1"/>
    </row>
    <row r="5" spans="1:20" x14ac:dyDescent="0.2">
      <c r="A5" t="s">
        <v>3</v>
      </c>
      <c r="B5" t="s">
        <v>11</v>
      </c>
      <c r="C5" t="s">
        <v>5</v>
      </c>
      <c r="D5">
        <v>0</v>
      </c>
      <c r="E5" s="1">
        <v>2.5664000000000002E-9</v>
      </c>
      <c r="F5" s="1">
        <v>5.9827000000000004E-10</v>
      </c>
      <c r="L5" s="1"/>
      <c r="M5" s="1"/>
      <c r="S5" s="1"/>
      <c r="T5" s="1"/>
    </row>
    <row r="6" spans="1:20" x14ac:dyDescent="0.2">
      <c r="A6" t="s">
        <v>10</v>
      </c>
      <c r="B6" t="s">
        <v>4</v>
      </c>
      <c r="C6" t="s">
        <v>8</v>
      </c>
      <c r="D6">
        <v>0</v>
      </c>
      <c r="E6" s="1">
        <v>2.0642E-10</v>
      </c>
      <c r="F6" s="1">
        <v>2.0642E-10</v>
      </c>
      <c r="L6" s="1"/>
      <c r="M6" s="1"/>
      <c r="S6" s="1"/>
      <c r="T6" s="1"/>
    </row>
    <row r="7" spans="1:20" x14ac:dyDescent="0.2">
      <c r="A7" t="s">
        <v>10</v>
      </c>
      <c r="B7" t="s">
        <v>4</v>
      </c>
      <c r="C7" t="s">
        <v>5</v>
      </c>
      <c r="D7">
        <v>0</v>
      </c>
      <c r="E7" s="1">
        <v>1.102E-8</v>
      </c>
      <c r="F7" s="1">
        <v>1.9419000000000001E-9</v>
      </c>
      <c r="L7" s="1"/>
      <c r="M7" s="1"/>
      <c r="S7" s="1"/>
      <c r="T7" s="1"/>
    </row>
    <row r="8" spans="1:20" x14ac:dyDescent="0.2">
      <c r="A8" t="s">
        <v>10</v>
      </c>
      <c r="B8" t="s">
        <v>11</v>
      </c>
      <c r="C8" t="s">
        <v>8</v>
      </c>
      <c r="D8">
        <v>0</v>
      </c>
      <c r="E8" s="1">
        <v>2.0861000000000001E-9</v>
      </c>
      <c r="F8" s="1">
        <v>4.0579E-10</v>
      </c>
      <c r="L8" s="1"/>
      <c r="M8" s="1"/>
      <c r="S8" s="1"/>
      <c r="T8" s="1"/>
    </row>
    <row r="9" spans="1:20" x14ac:dyDescent="0.2">
      <c r="A9" t="s">
        <v>10</v>
      </c>
      <c r="B9" t="s">
        <v>11</v>
      </c>
      <c r="C9" t="s">
        <v>5</v>
      </c>
      <c r="D9">
        <v>0</v>
      </c>
      <c r="E9" s="1">
        <v>3.6755E-9</v>
      </c>
      <c r="F9" s="1">
        <v>8.5483000000000004E-10</v>
      </c>
      <c r="L9" s="1"/>
      <c r="M9" s="1"/>
      <c r="S9" s="1"/>
      <c r="T9" s="1"/>
    </row>
    <row r="13" spans="1:20" x14ac:dyDescent="0.2">
      <c r="A13" t="s">
        <v>3</v>
      </c>
      <c r="B13" s="7" t="s">
        <v>15</v>
      </c>
      <c r="C13" s="7"/>
      <c r="D13" t="s">
        <v>4</v>
      </c>
      <c r="E13" s="6">
        <f>E2/E3</f>
        <v>1.8627670967412921</v>
      </c>
    </row>
    <row r="14" spans="1:20" x14ac:dyDescent="0.2">
      <c r="D14" t="s">
        <v>11</v>
      </c>
      <c r="E14" s="6">
        <f>E4/E5</f>
        <v>1.0640196384039899</v>
      </c>
    </row>
    <row r="15" spans="1:20" x14ac:dyDescent="0.2">
      <c r="A15" t="s">
        <v>10</v>
      </c>
      <c r="B15" s="7" t="s">
        <v>15</v>
      </c>
      <c r="C15" s="7"/>
      <c r="D15" t="s">
        <v>4</v>
      </c>
      <c r="E15" s="6">
        <f>E6/E7</f>
        <v>1.8731397459165154E-2</v>
      </c>
    </row>
    <row r="16" spans="1:20" x14ac:dyDescent="0.2">
      <c r="D16" t="s">
        <v>11</v>
      </c>
      <c r="E16" s="6">
        <f>E8/E9</f>
        <v>0.56756903822609173</v>
      </c>
    </row>
    <row r="18" spans="1:5" x14ac:dyDescent="0.2">
      <c r="E18" s="6"/>
    </row>
    <row r="19" spans="1:5" x14ac:dyDescent="0.2">
      <c r="A19" t="s">
        <v>3</v>
      </c>
      <c r="B19" s="7" t="s">
        <v>16</v>
      </c>
      <c r="C19" s="7"/>
      <c r="D19" t="s">
        <v>8</v>
      </c>
      <c r="E19" s="6">
        <f>E4/E2</f>
        <v>0.74758397897445727</v>
      </c>
    </row>
    <row r="20" spans="1:5" x14ac:dyDescent="0.2">
      <c r="D20" t="s">
        <v>5</v>
      </c>
      <c r="E20" s="6">
        <f>E5/E3</f>
        <v>1.3087867815798868</v>
      </c>
    </row>
    <row r="21" spans="1:5" x14ac:dyDescent="0.2">
      <c r="A21" t="s">
        <v>10</v>
      </c>
      <c r="B21" s="7" t="s">
        <v>16</v>
      </c>
      <c r="C21" s="7"/>
      <c r="D21" t="s">
        <v>8</v>
      </c>
      <c r="E21" s="6">
        <f>E8/E6</f>
        <v>10.106094370700514</v>
      </c>
    </row>
    <row r="22" spans="1:5" x14ac:dyDescent="0.2">
      <c r="D22" t="s">
        <v>5</v>
      </c>
      <c r="E22" s="6">
        <f>E9/E7</f>
        <v>0.33352994555353899</v>
      </c>
    </row>
  </sheetData>
  <mergeCells count="4">
    <mergeCell ref="B13:C13"/>
    <mergeCell ref="B15:C15"/>
    <mergeCell ref="B19:C19"/>
    <mergeCell ref="B21:C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5AF21-F064-0140-AB6D-17C65E8CE1D5}">
  <dimension ref="A1:U22"/>
  <sheetViews>
    <sheetView workbookViewId="0">
      <selection activeCell="E38" sqref="E38"/>
    </sheetView>
  </sheetViews>
  <sheetFormatPr baseColWidth="10" defaultRowHeight="16" x14ac:dyDescent="0.2"/>
  <cols>
    <col min="5" max="5" width="10.33203125" bestFit="1" customWidth="1"/>
    <col min="6" max="6" width="11.83203125" style="1" customWidth="1"/>
    <col min="7" max="7" width="10.83203125" style="1"/>
  </cols>
  <sheetData>
    <row r="1" spans="1:21" x14ac:dyDescent="0.2">
      <c r="A1" t="s">
        <v>0</v>
      </c>
      <c r="B1" t="s">
        <v>1</v>
      </c>
      <c r="C1" t="s">
        <v>2</v>
      </c>
      <c r="D1" t="s">
        <v>9</v>
      </c>
      <c r="E1" s="1" t="s">
        <v>6</v>
      </c>
      <c r="F1" s="2" t="s">
        <v>7</v>
      </c>
      <c r="G1" s="2"/>
      <c r="T1" s="1"/>
      <c r="U1" s="2"/>
    </row>
    <row r="2" spans="1:21" x14ac:dyDescent="0.2">
      <c r="A2" t="s">
        <v>3</v>
      </c>
      <c r="B2" t="s">
        <v>4</v>
      </c>
      <c r="C2" t="s">
        <v>8</v>
      </c>
      <c r="D2">
        <v>1</v>
      </c>
      <c r="E2" s="1">
        <v>9.1912000000000003E-9</v>
      </c>
      <c r="F2" s="3">
        <v>1.3166E-9</v>
      </c>
      <c r="G2" s="3"/>
      <c r="T2" s="1"/>
      <c r="U2" s="1"/>
    </row>
    <row r="3" spans="1:21" x14ac:dyDescent="0.2">
      <c r="A3" t="s">
        <v>3</v>
      </c>
      <c r="B3" t="s">
        <v>4</v>
      </c>
      <c r="C3" t="s">
        <v>5</v>
      </c>
      <c r="D3">
        <v>1</v>
      </c>
      <c r="E3" s="1">
        <v>3.4038999999999998E-9</v>
      </c>
      <c r="F3" s="1">
        <v>5.3923000000000001E-10</v>
      </c>
      <c r="T3" s="1"/>
      <c r="U3" s="1"/>
    </row>
    <row r="4" spans="1:21" x14ac:dyDescent="0.2">
      <c r="A4" t="s">
        <v>3</v>
      </c>
      <c r="B4" t="s">
        <v>11</v>
      </c>
      <c r="C4" t="s">
        <v>8</v>
      </c>
      <c r="D4">
        <v>1</v>
      </c>
      <c r="E4" s="1">
        <v>5.949E-9</v>
      </c>
      <c r="F4" s="1">
        <v>1.239E-9</v>
      </c>
      <c r="T4" s="1"/>
      <c r="U4" s="1"/>
    </row>
    <row r="5" spans="1:21" x14ac:dyDescent="0.2">
      <c r="A5" t="s">
        <v>3</v>
      </c>
      <c r="B5" t="s">
        <v>11</v>
      </c>
      <c r="C5" t="s">
        <v>5</v>
      </c>
      <c r="D5">
        <v>1</v>
      </c>
      <c r="E5" s="1">
        <v>3.7553999999999997E-9</v>
      </c>
      <c r="F5" s="1">
        <v>6.8449999999999996E-10</v>
      </c>
      <c r="T5" s="1"/>
      <c r="U5" s="1"/>
    </row>
    <row r="6" spans="1:21" x14ac:dyDescent="0.2">
      <c r="A6" t="s">
        <v>10</v>
      </c>
      <c r="B6" t="s">
        <v>4</v>
      </c>
      <c r="C6" t="s">
        <v>8</v>
      </c>
      <c r="D6">
        <v>1</v>
      </c>
      <c r="E6" s="1">
        <v>1.8977999999999998E-9</v>
      </c>
      <c r="F6" s="1">
        <v>4.0018999999999999E-10</v>
      </c>
      <c r="T6" s="1"/>
      <c r="U6" s="1"/>
    </row>
    <row r="7" spans="1:21" x14ac:dyDescent="0.2">
      <c r="A7" t="s">
        <v>10</v>
      </c>
      <c r="B7" t="s">
        <v>4</v>
      </c>
      <c r="C7" t="s">
        <v>5</v>
      </c>
      <c r="D7">
        <v>1</v>
      </c>
      <c r="E7" s="1">
        <v>6.0868999999999997E-9</v>
      </c>
      <c r="F7" s="1">
        <v>1.1274000000000001E-9</v>
      </c>
      <c r="T7" s="1"/>
      <c r="U7" s="1"/>
    </row>
    <row r="8" spans="1:21" x14ac:dyDescent="0.2">
      <c r="A8" t="s">
        <v>10</v>
      </c>
      <c r="B8" t="s">
        <v>11</v>
      </c>
      <c r="C8" t="s">
        <v>8</v>
      </c>
      <c r="D8">
        <v>1</v>
      </c>
      <c r="E8" s="1">
        <v>2.3466000000000001E-9</v>
      </c>
      <c r="F8" s="1">
        <v>4.4171000000000002E-10</v>
      </c>
      <c r="T8" s="1"/>
      <c r="U8" s="1"/>
    </row>
    <row r="9" spans="1:21" x14ac:dyDescent="0.2">
      <c r="A9" t="s">
        <v>10</v>
      </c>
      <c r="B9" t="s">
        <v>11</v>
      </c>
      <c r="C9" t="s">
        <v>5</v>
      </c>
      <c r="D9">
        <v>1</v>
      </c>
      <c r="E9" s="1">
        <v>4.8922999999999997E-9</v>
      </c>
      <c r="F9" s="1">
        <v>7.9356999999999998E-10</v>
      </c>
      <c r="T9" s="1"/>
      <c r="U9" s="1"/>
    </row>
    <row r="13" spans="1:21" x14ac:dyDescent="0.2">
      <c r="A13" t="s">
        <v>3</v>
      </c>
      <c r="B13" s="7" t="s">
        <v>15</v>
      </c>
      <c r="C13" s="7"/>
      <c r="D13" t="s">
        <v>4</v>
      </c>
      <c r="E13" s="6">
        <f>E2/E3</f>
        <v>2.7001968330444495</v>
      </c>
    </row>
    <row r="14" spans="1:21" x14ac:dyDescent="0.2">
      <c r="D14" t="s">
        <v>11</v>
      </c>
      <c r="E14" s="6">
        <f>E4/E5</f>
        <v>1.5841188688288865</v>
      </c>
    </row>
    <row r="15" spans="1:21" x14ac:dyDescent="0.2">
      <c r="A15" t="s">
        <v>10</v>
      </c>
      <c r="B15" s="7" t="s">
        <v>15</v>
      </c>
      <c r="C15" s="7"/>
      <c r="D15" t="s">
        <v>4</v>
      </c>
      <c r="E15" s="6">
        <f>E6/E7</f>
        <v>0.31178432371157733</v>
      </c>
    </row>
    <row r="16" spans="1:21" x14ac:dyDescent="0.2">
      <c r="D16" t="s">
        <v>11</v>
      </c>
      <c r="E16" s="6">
        <f>E8/E9</f>
        <v>0.47965169756556225</v>
      </c>
    </row>
    <row r="18" spans="1:5" x14ac:dyDescent="0.2">
      <c r="E18" s="6"/>
    </row>
    <row r="19" spans="1:5" x14ac:dyDescent="0.2">
      <c r="A19" t="s">
        <v>3</v>
      </c>
      <c r="B19" s="7" t="s">
        <v>16</v>
      </c>
      <c r="C19" s="7"/>
      <c r="D19" t="s">
        <v>8</v>
      </c>
      <c r="E19" s="6">
        <f>E4/E2</f>
        <v>0.64724954304116977</v>
      </c>
    </row>
    <row r="20" spans="1:5" x14ac:dyDescent="0.2">
      <c r="D20" t="s">
        <v>5</v>
      </c>
      <c r="E20" s="6">
        <f>E5/E3</f>
        <v>1.1032639031698934</v>
      </c>
    </row>
    <row r="21" spans="1:5" x14ac:dyDescent="0.2">
      <c r="A21" t="s">
        <v>10</v>
      </c>
      <c r="B21" s="7" t="s">
        <v>16</v>
      </c>
      <c r="C21" s="7"/>
      <c r="D21" t="s">
        <v>8</v>
      </c>
      <c r="E21" s="6">
        <f>E8/E6</f>
        <v>1.236484350300348</v>
      </c>
    </row>
    <row r="22" spans="1:5" x14ac:dyDescent="0.2">
      <c r="D22" t="s">
        <v>5</v>
      </c>
      <c r="E22" s="6">
        <f>E9/E7</f>
        <v>0.80374246332287369</v>
      </c>
    </row>
  </sheetData>
  <mergeCells count="4">
    <mergeCell ref="B13:C13"/>
    <mergeCell ref="B15:C15"/>
    <mergeCell ref="B19:C19"/>
    <mergeCell ref="B21:C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EE57-58A7-4A4F-8BE9-4A9EBFEB3776}">
  <dimension ref="A1:N22"/>
  <sheetViews>
    <sheetView tabSelected="1" workbookViewId="0">
      <selection activeCell="I35" sqref="I35"/>
    </sheetView>
  </sheetViews>
  <sheetFormatPr baseColWidth="10" defaultRowHeight="16" x14ac:dyDescent="0.2"/>
  <cols>
    <col min="5" max="5" width="10.33203125" bestFit="1" customWidth="1"/>
    <col min="6" max="6" width="11.83203125" style="1" customWidth="1"/>
    <col min="7" max="7" width="10.83203125" style="1"/>
  </cols>
  <sheetData>
    <row r="1" spans="1:14" x14ac:dyDescent="0.2">
      <c r="A1" t="s">
        <v>0</v>
      </c>
      <c r="B1" t="s">
        <v>1</v>
      </c>
      <c r="C1" t="s">
        <v>2</v>
      </c>
      <c r="D1" t="s">
        <v>9</v>
      </c>
      <c r="E1" s="1" t="s">
        <v>6</v>
      </c>
      <c r="F1" s="2" t="s">
        <v>7</v>
      </c>
      <c r="G1" s="2"/>
      <c r="M1" s="1"/>
      <c r="N1" s="2"/>
    </row>
    <row r="2" spans="1:14" x14ac:dyDescent="0.2">
      <c r="A2" t="s">
        <v>3</v>
      </c>
      <c r="B2" t="s">
        <v>4</v>
      </c>
      <c r="C2" t="s">
        <v>8</v>
      </c>
      <c r="D2">
        <v>2</v>
      </c>
      <c r="E2" s="1">
        <v>5.0829000000000003E-9</v>
      </c>
      <c r="F2" s="1">
        <v>8.1799999999999997E-10</v>
      </c>
      <c r="G2" s="3"/>
      <c r="M2" s="1"/>
      <c r="N2" s="3"/>
    </row>
    <row r="3" spans="1:14" x14ac:dyDescent="0.2">
      <c r="A3" t="s">
        <v>3</v>
      </c>
      <c r="B3" t="s">
        <v>4</v>
      </c>
      <c r="C3" t="s">
        <v>5</v>
      </c>
      <c r="D3">
        <v>2</v>
      </c>
      <c r="E3" s="1">
        <v>1.3385999999999999E-9</v>
      </c>
      <c r="F3" s="1">
        <v>7.0284000000000003E-10</v>
      </c>
      <c r="M3" s="1"/>
      <c r="N3" s="1"/>
    </row>
    <row r="4" spans="1:14" x14ac:dyDescent="0.2">
      <c r="A4" t="s">
        <v>3</v>
      </c>
      <c r="B4" t="s">
        <v>11</v>
      </c>
      <c r="C4" t="s">
        <v>8</v>
      </c>
      <c r="D4">
        <v>2</v>
      </c>
      <c r="E4" s="1">
        <v>6.3575999999999996E-9</v>
      </c>
      <c r="F4" s="1">
        <v>9.0471999999999995E-10</v>
      </c>
      <c r="M4" s="1"/>
      <c r="N4" s="1"/>
    </row>
    <row r="5" spans="1:14" x14ac:dyDescent="0.2">
      <c r="A5" t="s">
        <v>3</v>
      </c>
      <c r="B5" t="s">
        <v>11</v>
      </c>
      <c r="C5" t="s">
        <v>5</v>
      </c>
      <c r="D5">
        <v>2</v>
      </c>
      <c r="E5" s="1">
        <v>3.9389999999999997E-9</v>
      </c>
      <c r="F5" s="1">
        <v>8.0243999999999997E-10</v>
      </c>
      <c r="M5" s="1"/>
      <c r="N5" s="1"/>
    </row>
    <row r="6" spans="1:14" x14ac:dyDescent="0.2">
      <c r="A6" t="s">
        <v>10</v>
      </c>
      <c r="B6" t="s">
        <v>4</v>
      </c>
      <c r="C6" t="s">
        <v>8</v>
      </c>
      <c r="D6">
        <v>2</v>
      </c>
      <c r="E6" s="1">
        <v>2.2499999999999999E-9</v>
      </c>
      <c r="F6" s="1">
        <v>5.2835000000000004E-10</v>
      </c>
      <c r="M6" s="1"/>
      <c r="N6" s="1"/>
    </row>
    <row r="7" spans="1:14" x14ac:dyDescent="0.2">
      <c r="A7" t="s">
        <v>10</v>
      </c>
      <c r="B7" t="s">
        <v>4</v>
      </c>
      <c r="C7" t="s">
        <v>5</v>
      </c>
      <c r="D7">
        <v>2</v>
      </c>
      <c r="E7" s="1">
        <v>7.7171999999999998E-9</v>
      </c>
      <c r="F7" s="1">
        <v>1.6162000000000001E-9</v>
      </c>
      <c r="M7" s="1"/>
      <c r="N7" s="1"/>
    </row>
    <row r="8" spans="1:14" x14ac:dyDescent="0.2">
      <c r="A8" t="s">
        <v>10</v>
      </c>
      <c r="B8" t="s">
        <v>11</v>
      </c>
      <c r="C8" t="s">
        <v>8</v>
      </c>
      <c r="D8">
        <v>2</v>
      </c>
      <c r="E8" s="1">
        <v>1.7882999999999999E-9</v>
      </c>
      <c r="F8" s="1">
        <v>4.7046000000000005E-10</v>
      </c>
      <c r="M8" s="1"/>
      <c r="N8" s="1"/>
    </row>
    <row r="9" spans="1:14" x14ac:dyDescent="0.2">
      <c r="A9" t="s">
        <v>10</v>
      </c>
      <c r="B9" t="s">
        <v>11</v>
      </c>
      <c r="C9" t="s">
        <v>5</v>
      </c>
      <c r="D9">
        <v>2</v>
      </c>
      <c r="E9" s="1">
        <v>4.4772000000000002E-9</v>
      </c>
      <c r="F9" s="1">
        <v>7.6380999999999997E-10</v>
      </c>
      <c r="M9" s="1"/>
      <c r="N9" s="1"/>
    </row>
    <row r="13" spans="1:14" x14ac:dyDescent="0.2">
      <c r="A13" t="s">
        <v>3</v>
      </c>
      <c r="B13" s="7" t="s">
        <v>15</v>
      </c>
      <c r="C13" s="7"/>
      <c r="D13" t="s">
        <v>4</v>
      </c>
      <c r="E13" s="6">
        <f>E2/E3</f>
        <v>3.7971761541909461</v>
      </c>
    </row>
    <row r="14" spans="1:14" x14ac:dyDescent="0.2">
      <c r="D14" t="s">
        <v>11</v>
      </c>
      <c r="E14" s="6">
        <f>E4/E5</f>
        <v>1.6140137090632141</v>
      </c>
    </row>
    <row r="15" spans="1:14" x14ac:dyDescent="0.2">
      <c r="A15" t="s">
        <v>10</v>
      </c>
      <c r="B15" s="7" t="s">
        <v>15</v>
      </c>
      <c r="C15" s="7"/>
      <c r="D15" t="s">
        <v>4</v>
      </c>
      <c r="E15" s="6">
        <f>E6/E7</f>
        <v>0.29155652309127661</v>
      </c>
    </row>
    <row r="16" spans="1:14" x14ac:dyDescent="0.2">
      <c r="D16" t="s">
        <v>11</v>
      </c>
      <c r="E16" s="6">
        <f>E8/E9</f>
        <v>0.39942374698472255</v>
      </c>
    </row>
    <row r="18" spans="1:5" x14ac:dyDescent="0.2">
      <c r="E18" s="6"/>
    </row>
    <row r="19" spans="1:5" x14ac:dyDescent="0.2">
      <c r="A19" t="s">
        <v>3</v>
      </c>
      <c r="B19" s="7" t="s">
        <v>16</v>
      </c>
      <c r="C19" s="7"/>
      <c r="D19" t="s">
        <v>8</v>
      </c>
      <c r="E19" s="6">
        <f>E4/E2</f>
        <v>1.2507820338782978</v>
      </c>
    </row>
    <row r="20" spans="1:5" x14ac:dyDescent="0.2">
      <c r="D20" t="s">
        <v>5</v>
      </c>
      <c r="E20" s="6">
        <f>E5/E3</f>
        <v>2.942626624831914</v>
      </c>
    </row>
    <row r="21" spans="1:5" x14ac:dyDescent="0.2">
      <c r="A21" t="s">
        <v>10</v>
      </c>
      <c r="B21" s="7" t="s">
        <v>16</v>
      </c>
      <c r="C21" s="7"/>
      <c r="D21" t="s">
        <v>8</v>
      </c>
      <c r="E21" s="6">
        <f>E8/E6</f>
        <v>0.79479999999999995</v>
      </c>
    </row>
    <row r="22" spans="1:5" x14ac:dyDescent="0.2">
      <c r="D22" t="s">
        <v>5</v>
      </c>
      <c r="E22" s="6">
        <f>E9/E7</f>
        <v>0.58015860674856168</v>
      </c>
    </row>
  </sheetData>
  <mergeCells count="4">
    <mergeCell ref="B13:C13"/>
    <mergeCell ref="B15:C15"/>
    <mergeCell ref="B19:C19"/>
    <mergeCell ref="B21:C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pooled</vt:lpstr>
      <vt:lpstr>run_avg</vt:lpstr>
      <vt:lpstr>run_0</vt:lpstr>
      <vt:lpstr>run_1</vt:lpstr>
      <vt:lpstr>run_2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MARSON DOMENICO</dc:creator>
  <cp:lastModifiedBy>MARSON DOMENICO</cp:lastModifiedBy>
  <dcterms:created xsi:type="dcterms:W3CDTF">2026-03-11T13:49:18Z</dcterms:created>
  <dcterms:modified xsi:type="dcterms:W3CDTF">2026-04-22T07:29:24Z</dcterms:modified>
</cp:coreProperties>
</file>